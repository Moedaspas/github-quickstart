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\OneDrive\Documentos\Paulo Amaral (Pai)\DIO\Criando Ferramenta\"/>
    </mc:Choice>
  </mc:AlternateContent>
  <xr:revisionPtr revIDLastSave="0" documentId="13_ncr:1_{1C57D662-1588-4E39-B8D9-68EAA27030EE}" xr6:coauthVersionLast="47" xr6:coauthVersionMax="47" xr10:uidLastSave="{00000000-0000-0000-0000-000000000000}"/>
  <bookViews>
    <workbookView xWindow="-120" yWindow="-120" windowWidth="29040" windowHeight="15720" tabRatio="0" xr2:uid="{43A54269-B13A-44AC-9F45-A304EB539A44}"/>
  </bookViews>
  <sheets>
    <sheet name="SIMULADOR" sheetId="1" r:id="rId1"/>
    <sheet name="APOIO" sheetId="2" state="hidden" r:id="rId2"/>
  </sheets>
  <definedNames>
    <definedName name="anos">SIMULADOR!$D$12</definedName>
    <definedName name="Aporte">SIMULADOR!$D$11</definedName>
    <definedName name="cenario10">SIMULADOR!$C$20</definedName>
    <definedName name="cenario2">SIMULADOR!$C$18</definedName>
    <definedName name="cenario20">SIMULADOR!$C$21</definedName>
    <definedName name="cenario30">SIMULADOR!$C$22</definedName>
    <definedName name="cenario5">SIMULADOR!$C$19</definedName>
    <definedName name="patrimonio">SIMULADOR!$D$14</definedName>
    <definedName name="Perc_Sal">SIMULADOR!$D$8</definedName>
    <definedName name="rend_Cart">SIMULADOR!$D$7</definedName>
    <definedName name="Salario">SIMULADOR!$D$6</definedName>
    <definedName name="Tx_Mensal">SIMULADOR!$D$13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" l="1"/>
  <c r="C31" i="1"/>
  <c r="C32" i="1"/>
  <c r="C33" i="1"/>
  <c r="C34" i="1"/>
  <c r="C29" i="1"/>
  <c r="A16" i="2"/>
  <c r="A17" i="2"/>
  <c r="A18" i="2"/>
  <c r="A19" i="2"/>
  <c r="A20" i="2"/>
  <c r="A21" i="2"/>
  <c r="A15" i="2"/>
  <c r="A14" i="2"/>
  <c r="A13" i="2"/>
  <c r="A12" i="2"/>
  <c r="A11" i="2"/>
  <c r="A10" i="2"/>
  <c r="A5" i="2"/>
  <c r="A6" i="2"/>
  <c r="A7" i="2"/>
  <c r="A8" i="2"/>
  <c r="A9" i="2"/>
  <c r="A4" i="2"/>
  <c r="D11" i="1"/>
  <c r="C18" i="1" s="1"/>
  <c r="D18" i="1" s="1"/>
  <c r="C22" i="1" l="1"/>
  <c r="D22" i="1" s="1"/>
  <c r="C26" i="1"/>
  <c r="D14" i="1"/>
  <c r="D15" i="1" s="1"/>
  <c r="C21" i="1"/>
  <c r="D21" i="1" s="1"/>
  <c r="C20" i="1"/>
  <c r="D20" i="1" s="1"/>
  <c r="C19" i="1"/>
  <c r="D19" i="1" s="1"/>
  <c r="D30" i="1" l="1"/>
  <c r="D34" i="1"/>
  <c r="D31" i="1"/>
  <c r="D32" i="1"/>
  <c r="D29" i="1"/>
  <c r="D33" i="1"/>
  <c r="D35" i="1" l="1"/>
</calcChain>
</file>

<file path=xl/sharedStrings.xml><?xml version="1.0" encoding="utf-8"?>
<sst xmlns="http://schemas.openxmlformats.org/spreadsheetml/2006/main" count="70" uniqueCount="35">
  <si>
    <t>INVESTIMENTO MENSAL</t>
  </si>
  <si>
    <t>Quanto Investir por Mês ?</t>
  </si>
  <si>
    <t>Por Quantos Anos?</t>
  </si>
  <si>
    <t>Taxa de Rendimento Mensal?</t>
  </si>
  <si>
    <t>Dividendos Mensais?</t>
  </si>
  <si>
    <t>Qual Seu Salario Mensal?</t>
  </si>
  <si>
    <t>Qual % do seu salario voce que investir?</t>
  </si>
  <si>
    <t>Quanto em 2 Anos?</t>
  </si>
  <si>
    <t>Cenarios</t>
  </si>
  <si>
    <t>Quanto em 5 Anos?</t>
  </si>
  <si>
    <t>Quanto em 10 Anos?</t>
  </si>
  <si>
    <t>Quanto em 20 Anos?</t>
  </si>
  <si>
    <t>Quanto em 30 Anos?</t>
  </si>
  <si>
    <t>Dividendos</t>
  </si>
  <si>
    <t>Rendimento Carteira</t>
  </si>
  <si>
    <t>Patrimonio Acumulado?</t>
  </si>
  <si>
    <t>CONFIGURAÇÕES</t>
  </si>
  <si>
    <t>Perfil</t>
  </si>
  <si>
    <t>AGRESSIVO</t>
  </si>
  <si>
    <t>VALOR A SER INVESTIDO POR MÊS</t>
  </si>
  <si>
    <t>TIPO DE FII</t>
  </si>
  <si>
    <t>%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</si>
  <si>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</si>
  <si>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</si>
  <si>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</si>
  <si>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</si>
  <si>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</si>
  <si>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</si>
  <si>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</si>
  <si>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TOTAL</t>
  </si>
  <si>
    <t>PERFIL</t>
  </si>
  <si>
    <t>CHAVE</t>
  </si>
  <si>
    <t>MODERADO</t>
  </si>
  <si>
    <t>CONSERVADOR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</si>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</sst>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8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indexed="64"/>
      </left>
      <right/>
      <top style="thin">
        <color theme="0" tint="-0.14996795556505021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4">
    <xf numFmtId="0" fontId="0" fillId="0" borderId="0" xfId="0"/>
    <xf numFmtId="9" fontId="0" fillId="0" borderId="0" xfId="2" applyFont="1"/>
    <xf numFmtId="10" fontId="0" fillId="0" borderId="0" xfId="2" applyNumberFormat="1" applyFont="1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0" applyFont="1"/>
    <xf numFmtId="0" fontId="6" fillId="3" borderId="0" xfId="0" applyFont="1" applyFill="1" applyBorder="1" applyAlignment="1">
      <alignment horizontal="left" vertical="center"/>
    </xf>
    <xf numFmtId="0" fontId="0" fillId="0" borderId="0" xfId="0" applyBorder="1"/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5" fillId="3" borderId="12" xfId="0" applyFont="1" applyFill="1" applyBorder="1" applyAlignment="1">
      <alignment horizontal="center" vertical="center"/>
    </xf>
    <xf numFmtId="0" fontId="7" fillId="0" borderId="7" xfId="0" applyFont="1" applyBorder="1"/>
    <xf numFmtId="168" fontId="7" fillId="0" borderId="1" xfId="1" applyNumberFormat="1" applyFont="1" applyBorder="1" applyAlignment="1">
      <alignment horizontal="center" vertical="center"/>
    </xf>
    <xf numFmtId="0" fontId="7" fillId="0" borderId="16" xfId="0" applyFont="1" applyBorder="1"/>
    <xf numFmtId="10" fontId="7" fillId="0" borderId="10" xfId="2" applyNumberFormat="1" applyFont="1" applyBorder="1" applyAlignment="1">
      <alignment horizontal="center" vertical="center"/>
    </xf>
    <xf numFmtId="0" fontId="7" fillId="0" borderId="8" xfId="0" applyFont="1" applyBorder="1"/>
    <xf numFmtId="9" fontId="7" fillId="0" borderId="2" xfId="2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0" fontId="7" fillId="0" borderId="1" xfId="2" applyNumberFormat="1" applyFont="1" applyBorder="1" applyAlignment="1">
      <alignment horizontal="center"/>
    </xf>
    <xf numFmtId="0" fontId="6" fillId="5" borderId="11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6" fillId="5" borderId="12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left" indent="2"/>
    </xf>
    <xf numFmtId="0" fontId="7" fillId="0" borderId="17" xfId="0" applyFont="1" applyBorder="1" applyAlignment="1">
      <alignment horizontal="left" indent="2"/>
    </xf>
    <xf numFmtId="0" fontId="7" fillId="0" borderId="6" xfId="0" applyFont="1" applyBorder="1" applyAlignment="1">
      <alignment horizontal="left" indent="2"/>
    </xf>
    <xf numFmtId="0" fontId="7" fillId="4" borderId="4" xfId="0" applyFont="1" applyFill="1" applyBorder="1" applyAlignment="1">
      <alignment horizontal="left" indent="2"/>
    </xf>
    <xf numFmtId="0" fontId="7" fillId="4" borderId="13" xfId="0" applyFont="1" applyFill="1" applyBorder="1" applyAlignment="1">
      <alignment horizontal="left" indent="2"/>
    </xf>
    <xf numFmtId="0" fontId="7" fillId="4" borderId="9" xfId="0" applyFont="1" applyFill="1" applyBorder="1" applyAlignment="1">
      <alignment horizontal="left" indent="2"/>
    </xf>
    <xf numFmtId="0" fontId="7" fillId="4" borderId="7" xfId="0" applyFont="1" applyFill="1" applyBorder="1"/>
    <xf numFmtId="8" fontId="7" fillId="4" borderId="1" xfId="0" applyNumberFormat="1" applyFont="1" applyFill="1" applyBorder="1" applyAlignment="1">
      <alignment horizontal="center"/>
    </xf>
    <xf numFmtId="0" fontId="7" fillId="4" borderId="6" xfId="0" applyFont="1" applyFill="1" applyBorder="1" applyAlignment="1">
      <alignment horizontal="left" indent="2"/>
    </xf>
    <xf numFmtId="0" fontId="7" fillId="4" borderId="8" xfId="0" applyFont="1" applyFill="1" applyBorder="1"/>
    <xf numFmtId="8" fontId="7" fillId="4" borderId="2" xfId="0" applyNumberFormat="1" applyFont="1" applyFill="1" applyBorder="1" applyAlignment="1">
      <alignment horizontal="center"/>
    </xf>
    <xf numFmtId="0" fontId="2" fillId="2" borderId="0" xfId="3"/>
    <xf numFmtId="0" fontId="3" fillId="0" borderId="0" xfId="0" applyFont="1"/>
    <xf numFmtId="168" fontId="3" fillId="0" borderId="0" xfId="0" applyNumberFormat="1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9" fontId="0" fillId="0" borderId="0" xfId="2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3" fillId="6" borderId="0" xfId="0" applyNumberFormat="1" applyFont="1" applyFill="1" applyAlignment="1">
      <alignment horizontal="center" vertical="center"/>
    </xf>
    <xf numFmtId="10" fontId="3" fillId="6" borderId="0" xfId="2" applyNumberFormat="1" applyFont="1" applyFill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center" vertical="center"/>
    </xf>
    <xf numFmtId="10" fontId="0" fillId="0" borderId="14" xfId="2" applyNumberFormat="1" applyFont="1" applyBorder="1"/>
    <xf numFmtId="0" fontId="0" fillId="0" borderId="0" xfId="0" applyBorder="1" applyAlignment="1">
      <alignment horizontal="center" vertical="center"/>
    </xf>
    <xf numFmtId="10" fontId="0" fillId="0" borderId="0" xfId="2" applyNumberFormat="1" applyFont="1" applyBorder="1"/>
    <xf numFmtId="0" fontId="8" fillId="2" borderId="0" xfId="3" applyFont="1"/>
    <xf numFmtId="0" fontId="8" fillId="2" borderId="0" xfId="3" applyFont="1" applyAlignment="1">
      <alignment horizontal="center"/>
    </xf>
    <xf numFmtId="168" fontId="7" fillId="4" borderId="0" xfId="0" applyNumberFormat="1" applyFont="1" applyFill="1" applyBorder="1" applyAlignment="1">
      <alignment horizontal="center"/>
    </xf>
    <xf numFmtId="168" fontId="7" fillId="4" borderId="5" xfId="0" applyNumberFormat="1" applyFont="1" applyFill="1" applyBorder="1" applyAlignment="1">
      <alignment horizontal="center"/>
    </xf>
    <xf numFmtId="168" fontId="7" fillId="4" borderId="14" xfId="0" applyNumberFormat="1" applyFont="1" applyFill="1" applyBorder="1" applyAlignment="1">
      <alignment horizontal="center"/>
    </xf>
    <xf numFmtId="168" fontId="7" fillId="4" borderId="15" xfId="0" applyNumberFormat="1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AGRESSIVO</a:t>
            </a:r>
          </a:p>
        </c:rich>
      </c:tx>
      <c:layout>
        <c:manualLayout>
          <c:xMode val="edge"/>
          <c:yMode val="edge"/>
          <c:x val="0.53534711286089243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8A-4801-A9D0-B24FDFB1F3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8A-4801-A9D0-B24FDFB1F3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8A-4801-A9D0-B24FDFB1F3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8A-4801-A9D0-B24FDFB1F3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8A-4801-A9D0-B24FDFB1F3B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D8A-4801-A9D0-B24FDFB1F3B4}"/>
              </c:ext>
            </c:extLst>
          </c:dPt>
          <c:cat>
            <c:strRef>
              <c:f>APOIO!$C$4:$C$9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APOIO!$D$4:$D$9</c:f>
              <c:numCache>
                <c:formatCode>0.00%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D8A-4801-A9D0-B24FDFB1F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6666666666666666E-2"/>
          <c:y val="5.7498177311169456E-2"/>
          <c:w val="0.25174146981627299"/>
          <c:h val="0.917827354913969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MODERADO</a:t>
            </a:r>
          </a:p>
        </c:rich>
      </c:tx>
      <c:layout>
        <c:manualLayout>
          <c:xMode val="edge"/>
          <c:yMode val="edge"/>
          <c:x val="0.5357290026246719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38-43AC-9F98-F017F468C9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38-43AC-9F98-F017F468C9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38-43AC-9F98-F017F468C9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38-43AC-9F98-F017F468C9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D38-43AC-9F98-F017F468C97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D38-43AC-9F98-F017F468C978}"/>
              </c:ext>
            </c:extLst>
          </c:dPt>
          <c:cat>
            <c:strRef>
              <c:f>APOIO!$C$10:$C$15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APOIO!$D$10:$D$15</c:f>
              <c:numCache>
                <c:formatCode>0.00%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D38-43AC-9F98-F017F468C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6666666666666666E-2"/>
          <c:y val="3.4350029163021309E-2"/>
          <c:w val="0.25174146981627299"/>
          <c:h val="0.950234762321376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CONSERVADOR</a:t>
            </a:r>
          </a:p>
        </c:rich>
      </c:tx>
      <c:layout>
        <c:manualLayout>
          <c:xMode val="edge"/>
          <c:yMode val="edge"/>
          <c:x val="0.49833333333333335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72-4128-8FBC-6120614416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72-4128-8FBC-6120614416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72-4128-8FBC-6120614416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D72-4128-8FBC-6120614416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D72-4128-8FBC-6120614416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D72-4128-8FBC-61206144165E}"/>
              </c:ext>
            </c:extLst>
          </c:dPt>
          <c:cat>
            <c:strRef>
              <c:f>APOIO!$C$16:$C$21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APOIO!$D$16:$D$21</c:f>
              <c:numCache>
                <c:formatCode>0.00%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D72-4128-8FBC-612061441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6666666666666666E-2"/>
          <c:y val="2.0461140274132421E-2"/>
          <c:w val="0.25174146981627299"/>
          <c:h val="0.954864391951006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354543</xdr:colOff>
      <xdr:row>35</xdr:row>
      <xdr:rowOff>148166</xdr:rowOff>
    </xdr:from>
    <xdr:to>
      <xdr:col>1</xdr:col>
      <xdr:colOff>3222627</xdr:colOff>
      <xdr:row>46</xdr:row>
      <xdr:rowOff>2116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B93782-5FDA-4178-BF5D-F57553D0F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3307292</xdr:colOff>
      <xdr:row>35</xdr:row>
      <xdr:rowOff>148166</xdr:rowOff>
    </xdr:from>
    <xdr:to>
      <xdr:col>2</xdr:col>
      <xdr:colOff>2841626</xdr:colOff>
      <xdr:row>46</xdr:row>
      <xdr:rowOff>2116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192233-CB67-4760-BCD7-C0F109A3B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2926291</xdr:colOff>
      <xdr:row>35</xdr:row>
      <xdr:rowOff>148166</xdr:rowOff>
    </xdr:from>
    <xdr:to>
      <xdr:col>4</xdr:col>
      <xdr:colOff>79376</xdr:colOff>
      <xdr:row>46</xdr:row>
      <xdr:rowOff>2116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386ED09-EC7C-4A84-BB4D-760B7A624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5</xdr:col>
      <xdr:colOff>0</xdr:colOff>
      <xdr:row>3</xdr:row>
      <xdr:rowOff>136071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105282CF-98C5-38FE-779D-491CAE02F901}"/>
            </a:ext>
          </a:extLst>
        </xdr:cNvPr>
        <xdr:cNvSpPr/>
      </xdr:nvSpPr>
      <xdr:spPr>
        <a:xfrm>
          <a:off x="0" y="0"/>
          <a:ext cx="10572750" cy="707571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6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Planeje</a:t>
          </a:r>
          <a:r>
            <a:rPr lang="pt-BR" sz="36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 seu Futuro</a:t>
          </a:r>
        </a:p>
        <a:p>
          <a:pPr algn="l"/>
          <a:endParaRPr lang="pt-BR" sz="36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 editAs="oneCell">
    <xdr:from>
      <xdr:col>1</xdr:col>
      <xdr:colOff>2617066</xdr:colOff>
      <xdr:row>0</xdr:row>
      <xdr:rowOff>152401</xdr:rowOff>
    </xdr:from>
    <xdr:to>
      <xdr:col>1</xdr:col>
      <xdr:colOff>2948254</xdr:colOff>
      <xdr:row>3</xdr:row>
      <xdr:rowOff>54429</xdr:rowOff>
    </xdr:to>
    <xdr:pic>
      <xdr:nvPicPr>
        <xdr:cNvPr id="7" name="Gráfico 6" descr="Moedas com preenchimento sólido">
          <a:extLst>
            <a:ext uri="{FF2B5EF4-FFF2-40B4-BE49-F238E27FC236}">
              <a16:creationId xmlns:a16="http://schemas.microsoft.com/office/drawing/2014/main" id="{FB17248D-633B-F750-7566-327B96E88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98066" y="152401"/>
          <a:ext cx="331188" cy="473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BB238-C05D-4664-B805-2FFC57197BD0}">
  <dimension ref="A4:E58"/>
  <sheetViews>
    <sheetView showGridLines="0" showRowColHeaders="0" tabSelected="1" zoomScale="70" zoomScaleNormal="70" workbookViewId="0">
      <selection activeCell="E14" sqref="E14"/>
    </sheetView>
  </sheetViews>
  <sheetFormatPr defaultColWidth="0" defaultRowHeight="15" x14ac:dyDescent="0.25"/>
  <cols>
    <col min="1" max="1" width="5.7109375" customWidth="1"/>
    <col min="2" max="2" width="55.7109375" customWidth="1"/>
    <col min="3" max="4" width="45.7109375" customWidth="1"/>
    <col min="5" max="5" width="5.7109375" customWidth="1"/>
    <col min="6" max="16384" width="9.140625" hidden="1"/>
  </cols>
  <sheetData>
    <row r="4" spans="2:4" ht="15.75" thickBot="1" x14ac:dyDescent="0.3"/>
    <row r="5" spans="2:4" ht="26.25" x14ac:dyDescent="0.25">
      <c r="B5" s="21" t="s">
        <v>16</v>
      </c>
      <c r="C5" s="22"/>
      <c r="D5" s="23"/>
    </row>
    <row r="6" spans="2:4" ht="15.75" x14ac:dyDescent="0.25">
      <c r="B6" s="24" t="s">
        <v>5</v>
      </c>
      <c r="C6" s="13"/>
      <c r="D6" s="14">
        <v>12000</v>
      </c>
    </row>
    <row r="7" spans="2:4" ht="15.75" x14ac:dyDescent="0.25">
      <c r="B7" s="25" t="s">
        <v>14</v>
      </c>
      <c r="C7" s="15"/>
      <c r="D7" s="16">
        <v>0.01</v>
      </c>
    </row>
    <row r="8" spans="2:4" ht="16.5" thickBot="1" x14ac:dyDescent="0.3">
      <c r="B8" s="26" t="s">
        <v>6</v>
      </c>
      <c r="C8" s="17"/>
      <c r="D8" s="18">
        <v>0.01</v>
      </c>
    </row>
    <row r="10" spans="2:4" s="4" customFormat="1" ht="26.25" x14ac:dyDescent="0.25">
      <c r="B10" s="8" t="s">
        <v>0</v>
      </c>
      <c r="C10" s="6"/>
      <c r="D10" s="9"/>
    </row>
    <row r="11" spans="2:4" ht="15.75" x14ac:dyDescent="0.25">
      <c r="B11" s="24" t="s">
        <v>1</v>
      </c>
      <c r="C11" s="13"/>
      <c r="D11" s="14">
        <f>D6*D8</f>
        <v>120</v>
      </c>
    </row>
    <row r="12" spans="2:4" ht="15.75" x14ac:dyDescent="0.25">
      <c r="B12" s="24" t="s">
        <v>2</v>
      </c>
      <c r="C12" s="13"/>
      <c r="D12" s="19">
        <v>1</v>
      </c>
    </row>
    <row r="13" spans="2:4" ht="15.75" x14ac:dyDescent="0.25">
      <c r="B13" s="24" t="s">
        <v>3</v>
      </c>
      <c r="C13" s="13"/>
      <c r="D13" s="20">
        <v>1.0789999999999999E-2</v>
      </c>
    </row>
    <row r="14" spans="2:4" ht="15.75" x14ac:dyDescent="0.25">
      <c r="B14" s="29" t="s">
        <v>15</v>
      </c>
      <c r="C14" s="30"/>
      <c r="D14" s="31">
        <f>FV(Tx_Mensal,anos*12,Aporte*-1)</f>
        <v>1528.6063200667872</v>
      </c>
    </row>
    <row r="15" spans="2:4" ht="16.5" thickBot="1" x14ac:dyDescent="0.3">
      <c r="B15" s="32" t="s">
        <v>4</v>
      </c>
      <c r="C15" s="33"/>
      <c r="D15" s="34">
        <f>patrimonio*rend_Cart</f>
        <v>15.286063200667872</v>
      </c>
    </row>
    <row r="16" spans="2:4" ht="15.75" thickBot="1" x14ac:dyDescent="0.3"/>
    <row r="17" spans="1:4" s="4" customFormat="1" ht="26.25" x14ac:dyDescent="0.25">
      <c r="B17" s="10" t="s">
        <v>8</v>
      </c>
      <c r="C17" s="11"/>
      <c r="D17" s="12" t="s">
        <v>13</v>
      </c>
    </row>
    <row r="18" spans="1:4" ht="15.75" x14ac:dyDescent="0.25">
      <c r="A18" s="5">
        <v>2</v>
      </c>
      <c r="B18" s="27" t="s">
        <v>7</v>
      </c>
      <c r="C18" s="50">
        <f>FV(Tx_Mensal,$A18*12,Aporte*-1)</f>
        <v>3267.3152757174262</v>
      </c>
      <c r="D18" s="51">
        <f>cenario2*rend_Cart</f>
        <v>32.673152757174265</v>
      </c>
    </row>
    <row r="19" spans="1:4" ht="15.75" x14ac:dyDescent="0.25">
      <c r="A19" s="5">
        <v>5</v>
      </c>
      <c r="B19" s="27" t="s">
        <v>9</v>
      </c>
      <c r="C19" s="50">
        <f>FV(Tx_Mensal,$A19*12,Aporte*-1)</f>
        <v>10053.229679818518</v>
      </c>
      <c r="D19" s="51">
        <f>cenario5*Tx_Mensal</f>
        <v>108.4743482452418</v>
      </c>
    </row>
    <row r="20" spans="1:4" ht="15.75" x14ac:dyDescent="0.25">
      <c r="A20" s="5">
        <v>10</v>
      </c>
      <c r="B20" s="27" t="s">
        <v>10</v>
      </c>
      <c r="C20" s="50">
        <f>FV(Tx_Mensal,$A20*12,Aporte*-1)</f>
        <v>29194.105503620664</v>
      </c>
      <c r="D20" s="51">
        <f>cenario10*Tx_Mensal</f>
        <v>315.00439838406692</v>
      </c>
    </row>
    <row r="21" spans="1:4" ht="15.75" x14ac:dyDescent="0.25">
      <c r="A21" s="5">
        <v>20</v>
      </c>
      <c r="B21" s="27" t="s">
        <v>11</v>
      </c>
      <c r="C21" s="50">
        <f>FV(Tx_Mensal,$A21*12,Aporte*-1)</f>
        <v>135023.80801164967</v>
      </c>
      <c r="D21" s="51">
        <f>cenario20*Tx_Mensal</f>
        <v>1456.9068884456999</v>
      </c>
    </row>
    <row r="22" spans="1:4" ht="16.5" thickBot="1" x14ac:dyDescent="0.3">
      <c r="A22" s="5">
        <v>30</v>
      </c>
      <c r="B22" s="28" t="s">
        <v>12</v>
      </c>
      <c r="C22" s="52">
        <f>FV(Tx_Mensal,$A22*12,Aporte*-1)</f>
        <v>518660.35860056576</v>
      </c>
      <c r="D22" s="53">
        <f>cenario30*Tx_Mensal</f>
        <v>5596.3452693001045</v>
      </c>
    </row>
    <row r="25" spans="1:4" ht="18.75" x14ac:dyDescent="0.3">
      <c r="B25" s="48" t="s">
        <v>17</v>
      </c>
      <c r="C25" s="49" t="s">
        <v>33</v>
      </c>
      <c r="D25" s="35"/>
    </row>
    <row r="26" spans="1:4" x14ac:dyDescent="0.25">
      <c r="B26" s="36" t="s">
        <v>19</v>
      </c>
      <c r="C26" s="37">
        <f>Aporte</f>
        <v>120</v>
      </c>
    </row>
    <row r="28" spans="1:4" x14ac:dyDescent="0.25">
      <c r="B28" s="38" t="s">
        <v>20</v>
      </c>
      <c r="C28" s="38" t="s">
        <v>21</v>
      </c>
      <c r="D28" s="38" t="s">
        <v>22</v>
      </c>
    </row>
    <row r="29" spans="1:4" x14ac:dyDescent="0.25">
      <c r="B29" s="3" t="s">
        <v>23</v>
      </c>
      <c r="C29" s="39">
        <f>VLOOKUP($C$25&amp;"-"&amp;B29,APOIO!A4:D21,4,FALSE)</f>
        <v>0.3</v>
      </c>
      <c r="D29" s="40">
        <f>$C$26*C29</f>
        <v>36</v>
      </c>
    </row>
    <row r="30" spans="1:4" x14ac:dyDescent="0.25">
      <c r="B30" s="3" t="s">
        <v>24</v>
      </c>
      <c r="C30" s="39">
        <f>VLOOKUP($C$25&amp;"-"&amp;B30,APOIO!A5:D22,4,FALSE)</f>
        <v>0.5</v>
      </c>
      <c r="D30" s="40">
        <f t="shared" ref="D30:D34" si="0">$C$26*C30</f>
        <v>60</v>
      </c>
    </row>
    <row r="31" spans="1:4" x14ac:dyDescent="0.25">
      <c r="B31" s="3" t="s">
        <v>25</v>
      </c>
      <c r="C31" s="39">
        <f>VLOOKUP($C$25&amp;"-"&amp;B31,APOIO!A6:D23,4,FALSE)</f>
        <v>0.1</v>
      </c>
      <c r="D31" s="40">
        <f t="shared" si="0"/>
        <v>12</v>
      </c>
    </row>
    <row r="32" spans="1:4" x14ac:dyDescent="0.25">
      <c r="B32" s="3" t="s">
        <v>26</v>
      </c>
      <c r="C32" s="39">
        <f>VLOOKUP($C$25&amp;"-"&amp;B32,APOIO!A7:D24,4,FALSE)</f>
        <v>0.1</v>
      </c>
      <c r="D32" s="40">
        <f t="shared" si="0"/>
        <v>12</v>
      </c>
    </row>
    <row r="33" spans="2:4" x14ac:dyDescent="0.25">
      <c r="B33" s="3" t="s">
        <v>27</v>
      </c>
      <c r="C33" s="39">
        <f>VLOOKUP($C$25&amp;"-"&amp;B33,APOIO!A8:D25,4,FALSE)</f>
        <v>0</v>
      </c>
      <c r="D33" s="40">
        <f t="shared" si="0"/>
        <v>0</v>
      </c>
    </row>
    <row r="34" spans="2:4" x14ac:dyDescent="0.25">
      <c r="B34" s="3" t="s">
        <v>28</v>
      </c>
      <c r="C34" s="39">
        <f>VLOOKUP($C$25&amp;"-"&amp;B34,APOIO!A9:D26,4,FALSE)</f>
        <v>0</v>
      </c>
      <c r="D34" s="40">
        <f t="shared" si="0"/>
        <v>0</v>
      </c>
    </row>
    <row r="35" spans="2:4" x14ac:dyDescent="0.25">
      <c r="B35" s="38" t="s">
        <v>29</v>
      </c>
      <c r="C35" s="38"/>
      <c r="D35" s="41">
        <f>SUM(D29:D34)</f>
        <v>120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</sheetData>
  <mergeCells count="3">
    <mergeCell ref="B17:C17"/>
    <mergeCell ref="B10:D10"/>
    <mergeCell ref="B5:D5"/>
  </mergeCells>
  <dataValidations count="1">
    <dataValidation type="list" allowBlank="1" showInputMessage="1" showErrorMessage="1" sqref="C25" xr:uid="{430090AA-67C3-44E0-812B-727F76162A87}">
      <formula1>"AGRESSIVO,MODERADO,CONSERVADOR"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15381-9FDB-4091-BB26-31D93394F192}">
  <dimension ref="A3:G21"/>
  <sheetViews>
    <sheetView showGridLines="0" workbookViewId="0">
      <selection activeCell="N20" sqref="N20"/>
    </sheetView>
  </sheetViews>
  <sheetFormatPr defaultRowHeight="15" x14ac:dyDescent="0.25"/>
  <cols>
    <col min="1" max="1" width="30.140625" bestFit="1" customWidth="1"/>
    <col min="2" max="3" width="19" bestFit="1" customWidth="1"/>
    <col min="4" max="4" width="9.140625" style="2"/>
    <col min="6" max="6" width="18.5703125" bestFit="1" customWidth="1"/>
  </cols>
  <sheetData>
    <row r="3" spans="1:7" x14ac:dyDescent="0.25">
      <c r="A3" s="38" t="s">
        <v>31</v>
      </c>
      <c r="B3" s="38" t="s">
        <v>30</v>
      </c>
      <c r="C3" s="38" t="s">
        <v>20</v>
      </c>
      <c r="D3" s="42" t="s">
        <v>34</v>
      </c>
    </row>
    <row r="4" spans="1:7" x14ac:dyDescent="0.25">
      <c r="A4" t="str">
        <f>B4&amp;"-"&amp;C4</f>
        <v>AGRESSIVO-PAPEL</v>
      </c>
      <c r="B4" t="s">
        <v>18</v>
      </c>
      <c r="C4" s="3" t="s">
        <v>23</v>
      </c>
      <c r="D4" s="2">
        <v>0.5</v>
      </c>
    </row>
    <row r="5" spans="1:7" x14ac:dyDescent="0.25">
      <c r="A5" t="str">
        <f t="shared" ref="A5:A21" si="0">B5&amp;"-"&amp;C5</f>
        <v>AGRESSIVO-TIJOLO</v>
      </c>
      <c r="B5" t="s">
        <v>18</v>
      </c>
      <c r="C5" s="3" t="s">
        <v>24</v>
      </c>
      <c r="D5" s="2">
        <v>0.1</v>
      </c>
    </row>
    <row r="6" spans="1:7" x14ac:dyDescent="0.25">
      <c r="A6" t="str">
        <f t="shared" si="0"/>
        <v>AGRESSIVO-HIBRIDOS</v>
      </c>
      <c r="B6" t="s">
        <v>18</v>
      </c>
      <c r="C6" s="3" t="s">
        <v>25</v>
      </c>
      <c r="D6" s="2">
        <v>0.05</v>
      </c>
      <c r="G6" s="1"/>
    </row>
    <row r="7" spans="1:7" x14ac:dyDescent="0.25">
      <c r="A7" t="str">
        <f t="shared" si="0"/>
        <v>AGRESSIVO-FOFs</v>
      </c>
      <c r="B7" t="s">
        <v>18</v>
      </c>
      <c r="C7" s="3" t="s">
        <v>26</v>
      </c>
      <c r="D7" s="2">
        <v>0.05</v>
      </c>
    </row>
    <row r="8" spans="1:7" x14ac:dyDescent="0.25">
      <c r="A8" s="7" t="str">
        <f t="shared" si="0"/>
        <v>AGRESSIVO-DESENVOLVIMENTO</v>
      </c>
      <c r="B8" s="7" t="s">
        <v>18</v>
      </c>
      <c r="C8" s="46" t="s">
        <v>27</v>
      </c>
      <c r="D8" s="47">
        <v>0.2</v>
      </c>
    </row>
    <row r="9" spans="1:7" ht="15.75" thickBot="1" x14ac:dyDescent="0.3">
      <c r="A9" s="43" t="str">
        <f t="shared" si="0"/>
        <v>AGRESSIVO-HOTELARIAS</v>
      </c>
      <c r="B9" s="43" t="s">
        <v>18</v>
      </c>
      <c r="C9" s="44" t="s">
        <v>28</v>
      </c>
      <c r="D9" s="45">
        <v>0.1</v>
      </c>
    </row>
    <row r="10" spans="1:7" x14ac:dyDescent="0.25">
      <c r="A10" t="str">
        <f t="shared" si="0"/>
        <v>MODERADO-PAPEL</v>
      </c>
      <c r="B10" t="s">
        <v>32</v>
      </c>
      <c r="C10" s="3" t="s">
        <v>23</v>
      </c>
      <c r="D10" s="2">
        <v>0.32</v>
      </c>
    </row>
    <row r="11" spans="1:7" x14ac:dyDescent="0.25">
      <c r="A11" t="str">
        <f t="shared" si="0"/>
        <v>MODERADO-TIJOLO</v>
      </c>
      <c r="B11" t="s">
        <v>32</v>
      </c>
      <c r="C11" s="3" t="s">
        <v>24</v>
      </c>
      <c r="D11" s="2">
        <v>0.35</v>
      </c>
    </row>
    <row r="12" spans="1:7" x14ac:dyDescent="0.25">
      <c r="A12" t="str">
        <f t="shared" si="0"/>
        <v>MODERADO-HIBRIDOS</v>
      </c>
      <c r="B12" t="s">
        <v>32</v>
      </c>
      <c r="C12" s="3" t="s">
        <v>25</v>
      </c>
      <c r="D12" s="2">
        <v>0.08</v>
      </c>
    </row>
    <row r="13" spans="1:7" x14ac:dyDescent="0.25">
      <c r="A13" t="str">
        <f t="shared" si="0"/>
        <v>MODERADO-FOFs</v>
      </c>
      <c r="B13" t="s">
        <v>32</v>
      </c>
      <c r="C13" s="3" t="s">
        <v>26</v>
      </c>
      <c r="D13" s="2">
        <v>0.05</v>
      </c>
    </row>
    <row r="14" spans="1:7" x14ac:dyDescent="0.25">
      <c r="A14" t="str">
        <f t="shared" si="0"/>
        <v>MODERADO-DESENVOLVIMENTO</v>
      </c>
      <c r="B14" t="s">
        <v>32</v>
      </c>
      <c r="C14" s="3" t="s">
        <v>27</v>
      </c>
      <c r="D14" s="2">
        <v>0.1</v>
      </c>
    </row>
    <row r="15" spans="1:7" ht="15.75" thickBot="1" x14ac:dyDescent="0.3">
      <c r="A15" s="43" t="str">
        <f t="shared" si="0"/>
        <v>MODERADO-HOTELARIAS</v>
      </c>
      <c r="B15" s="43" t="s">
        <v>32</v>
      </c>
      <c r="C15" s="44" t="s">
        <v>28</v>
      </c>
      <c r="D15" s="45">
        <v>0.1</v>
      </c>
    </row>
    <row r="16" spans="1:7" x14ac:dyDescent="0.25">
      <c r="A16" t="str">
        <f t="shared" si="0"/>
        <v>CONSERVADOR-PAPEL</v>
      </c>
      <c r="B16" t="s">
        <v>33</v>
      </c>
      <c r="C16" s="3" t="s">
        <v>23</v>
      </c>
      <c r="D16" s="2">
        <v>0.3</v>
      </c>
    </row>
    <row r="17" spans="1:4" x14ac:dyDescent="0.25">
      <c r="A17" t="str">
        <f t="shared" si="0"/>
        <v>CONSERVADOR-TIJOLO</v>
      </c>
      <c r="B17" t="s">
        <v>33</v>
      </c>
      <c r="C17" s="3" t="s">
        <v>24</v>
      </c>
      <c r="D17" s="2">
        <v>0.5</v>
      </c>
    </row>
    <row r="18" spans="1:4" x14ac:dyDescent="0.25">
      <c r="A18" t="str">
        <f t="shared" si="0"/>
        <v>CONSERVADOR-HIBRIDOS</v>
      </c>
      <c r="B18" t="s">
        <v>33</v>
      </c>
      <c r="C18" s="3" t="s">
        <v>25</v>
      </c>
      <c r="D18" s="2">
        <v>0.1</v>
      </c>
    </row>
    <row r="19" spans="1:4" x14ac:dyDescent="0.25">
      <c r="A19" t="str">
        <f t="shared" si="0"/>
        <v>CONSERVADOR-FOFs</v>
      </c>
      <c r="B19" t="s">
        <v>33</v>
      </c>
      <c r="C19" s="3" t="s">
        <v>26</v>
      </c>
      <c r="D19" s="2">
        <v>0.1</v>
      </c>
    </row>
    <row r="20" spans="1:4" x14ac:dyDescent="0.25">
      <c r="A20" t="str">
        <f t="shared" si="0"/>
        <v>CONSERVADOR-DESENVOLVIMENTO</v>
      </c>
      <c r="B20" t="s">
        <v>33</v>
      </c>
      <c r="C20" s="3" t="s">
        <v>27</v>
      </c>
      <c r="D20" s="2">
        <v>0</v>
      </c>
    </row>
    <row r="21" spans="1:4" ht="15.75" thickBot="1" x14ac:dyDescent="0.3">
      <c r="A21" s="43" t="str">
        <f t="shared" si="0"/>
        <v>CONSERVADOR-HOTELARIAS</v>
      </c>
      <c r="B21" s="43" t="s">
        <v>33</v>
      </c>
      <c r="C21" s="44" t="s">
        <v>28</v>
      </c>
      <c r="D21" s="4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12</vt:i4>
      </vt:variant>
    </vt:vector>
  </HeadingPairs>
  <TitlesOfParts>
    <vt:vector size="14" baseType="lpstr">
      <vt:lpstr>SIMULADOR</vt:lpstr>
      <vt:lpstr>APOIO</vt:lpstr>
      <vt:lpstr>anos</vt:lpstr>
      <vt:lpstr>Aporte</vt:lpstr>
      <vt:lpstr>cenario10</vt:lpstr>
      <vt:lpstr>cenario2</vt:lpstr>
      <vt:lpstr>cenario20</vt:lpstr>
      <vt:lpstr>cenario30</vt:lpstr>
      <vt:lpstr>cenario5</vt:lpstr>
      <vt:lpstr>patrimonio</vt:lpstr>
      <vt:lpstr>Perc_Sal</vt:lpstr>
      <vt:lpstr>rend_Cart</vt:lpstr>
      <vt:lpstr>Salario</vt:lpstr>
      <vt:lpstr>Tx_Mensal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Amaral</dc:creator>
  <cp:lastModifiedBy>Paulo Amaral</cp:lastModifiedBy>
  <dcterms:created xsi:type="dcterms:W3CDTF">2026-02-07T21:11:51Z</dcterms:created>
  <dcterms:modified xsi:type="dcterms:W3CDTF">2026-02-07T23:19:08Z</dcterms:modified>
</cp:coreProperties>
</file>