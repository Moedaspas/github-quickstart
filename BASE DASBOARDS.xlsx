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ulo\OneDrive\Documentos\Paulo Amaral (Pai)\DIO\DASHBOARDS\"/>
    </mc:Choice>
  </mc:AlternateContent>
  <xr:revisionPtr revIDLastSave="0" documentId="13_ncr:1_{D6693643-6402-4673-A757-AE0DA99C9981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3" l="1"/>
  <c r="D22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<sst xmlns="http://schemas.openxmlformats.org/spreadsheetml/2006/main" count="2023" uniqueCount="325">
  <si>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</si>
  <si>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</si>
  <si>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</si>
  <si>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</si>
  <si>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</si>
  <si>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</si>
  <si>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</si>
  <si>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</si>
  <si>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</si>
  <si>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</si>
  <si>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</si>
  <si>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</si>
  <si>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</si>
  <si>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</si>
  <si>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</si>
  <si>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</si>
  <si>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</si>
  <si>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</si>
  <si>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</si>
  <si>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</si>
  <si>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</si>
  <si>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</si>
  <si>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</si>
  <si>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</si>
  <si>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</si>
  <si>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</si>
  <si>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</si>
  <si>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</si>
  <si>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</si>
  <si>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</si>
  <si>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</si>
  <si>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</si>
  <si>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</si>
  <si>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</si>
  <si>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</si>
  <si>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</si>
  <si>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</si>
  <si>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</si>
  <si>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</si>
  <si>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</si>
  <si>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</si>
  <si>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</si>
  <si>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</si>
  <si>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</si>
  <si>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</si>
  <si>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</si>
  <si>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</si>
  <si>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</si>
  <si>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</si>
  <si>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</si>
  <si>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</si>
  <si>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</si>
  <si>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</si>
  <si>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</si>
  <si>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</si>
  <si>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</si>
  <si>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</si>
  <si>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</si>
  <si>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</si>
  <si>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</si>
  <si>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</si>
  <si>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</si>
  <si>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</si>
  <si>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</si>
  <si>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</si>
  <si>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</si>
  <si>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</si>
  <si>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</si>
  <si>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</si>
  <si>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</si>
  <si>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</si>
  <si>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</si>
  <si>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</si>
  <si>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</si>
  <si>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</si>
  <si>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</si>
  <si>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</si>
  <si>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</si>
  <si>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</si>
  <si>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</si>
  <si>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</si>
  <si>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</si>
  <si>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</si>
  <si>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</si>
  <si>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</si>
  <si>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</si>
  <si>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</si>
  <si>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</si>
  <si>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</si>
  <si>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</si>
  <si>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</si>
  <si>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</si>
  <si>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</si>
  <si>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</si>
  <si>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</si>
  <si>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</si>
  <si>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</si>
  <si>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</si>
  <si>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</si>
  <si>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</si>
  <si>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</si>
  <si>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</si>
  <si>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</si>
  <si>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</si>
  <si>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</si>
  <si>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</si>
  <si>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</si>
  <si>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</si>
  <si>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</si>
  <si>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</si>
  <si>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</si>
  <si>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</si>
  <si>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</si>
  <si>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</si>
  <si>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</si>
  <si>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</si>
  <si>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</si>
  <si>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</si>
  <si>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</si>
  <si>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</si>
  <si>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</si>
  <si>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</si>
  <si>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</si>
  <si>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</si>
  <si>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</si>
  <si>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</si>
  <si>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</si>
  <si>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</si>
  <si>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</si>
  <si>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</si>
  <si>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</si>
  <si>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</si>
  <si>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</si>
  <si>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</si>
  <si>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</si>
  <si>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</si>
  <si>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</si>
  <si>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</si>
  <si>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</si>
  <si>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</si>
  <si>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</si>
  <si>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</si>
  <si>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</si>
  <si>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</si>
  <si>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</si>
  <si>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</si>
  <si>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</si>
  <si>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</si>
  <si>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</si>
  <si>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</si>
  <si>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</si>
  <si>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</si>
  <si>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</si>
  <si>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</si>
  <si>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</si>
  <si>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</si>
  <si>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</si>
  <si>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</si>
  <si>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</si>
  <si>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</si>
  <si>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</si>
  <si>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</si>
  <si>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</si>
  <si>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</si>
  <si>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</si>
  <si>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</si>
  <si>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</si>
  <si>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</si>
  <si>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</si>
  <si>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</si>
  <si>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</si>
  <si>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</si>
  <si>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</si>
  <si>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</si>
  <si>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</si>
  <si>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</si>
  <si>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</si>
  <si>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</si>
  <si>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</si>
  <si>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</si>
  <si>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</si>
  <si>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</si>
  <si>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</si>
  <si>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</si>
  <si>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</si>
  <si>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</si>
  <si>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</si>
  <si>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</si>
  <si>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</si>
  <si>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</si>
  <si>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</si>
  <si>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</si>
  <si>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</si>
  <si>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</si>
  <si>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</si>
  <si>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</si>
  <si>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</si>
  <si>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</si>
  <si>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</si>
  <si>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</si>
  <si>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</si>
  <si>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</si>
  <si>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</si>
  <si>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</si>
  <si>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</si>
  <si>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</si>
  <si>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</si>
  <si>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</si>
  <si>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</si>
  <si>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</si>
  <si>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</si>
  <si>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</si>
  <si>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</si>
  <si>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</si>
  <si>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</si>
  <si>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</si>
  <si>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</si>
  <si>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</si>
  <si>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</si>
  <si>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</si>
  <si>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</si>
  <si>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</si>
  <si>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</si>
  <si>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</si>
  <si>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</si>
  <si>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</si>
  <si>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</si>
  <si>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</si>
  <si>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</si>
  <si>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</si>
  <si>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</si>
  <si>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</si>
  <si>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</si>
  <si>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</si>
  <si>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</si>
  <si>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</si>
  <si>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</si>
  <si>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</si>
  <si>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</si>
  <si>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</si>
  <si>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</si>
  <si>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</si>
  <si>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</si>
  <si>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</si>
  <si>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</si>
  <si>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</si>
  <si>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</si>
  <si>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</si>
  <si>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</si>
  <si>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</si>
  <si>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</si>
  <si>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</si>
  <si>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</si>
  <si>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</si>
  <si>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</si>
  <si>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</si>
  <si>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</si>
  <si>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</si>
  <si>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</si>
  <si>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</si>
  <si>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</si>
  <si>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</si>
  <si>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</si>
  <si>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</si>
  <si>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</si>
  <si>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</si>
  <si>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</si>
  <si>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</si>
  <si>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</si>
  <si>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</si>
  <si>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</si>
  <si>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</si>
  <si>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</si>
  <si>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</si>
  <si>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</si>
  <si>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</si>
  <si>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</si>
  <si>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</si>
  <si>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</si>
  <si>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</si>
  <si>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</si>
  <si>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</si>
  <si>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</si>
  <si>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</si>
  <si>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</si>
  <si>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</si>
  <si>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</si>
  <si>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</si>
  <si>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</si>
  <si>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</si>
  <si>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</si>
  <si>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</si>
  <si>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</si>
  <si>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</si>
  <si>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</si>
  <si>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</si>
  <si>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</si>
  <si>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</si>
  <si>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</si>
  <si>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</si>
  <si>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</si>
  <si>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</si>
  <si>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</si>
  <si>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</si>
  <si>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</si>
  <si>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</si>
  <si>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</si>
  <si>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</si>
  <si>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</si>
  <si>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</si>
  <si>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</si>
  <si>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</si>
  <si>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</si>
  <si>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</si>
  <si>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</si>
  <si>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</si>
  <si>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É uma pergunta de negocios respondida atraves de alguma analise de dados especifica</t>
  </si>
  <si>
    <r>
      <t>Qual Faturamento</t>
    </r>
    <r>
      <rPr>
        <b/>
        <sz val="11"/>
        <color theme="1"/>
        <rFont val="Aptos Narrow"/>
        <family val="2"/>
        <scheme val="minor"/>
      </rPr>
      <t xml:space="preserve"> TOTAL DE VENDAS 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</si>
  <si>
    <r>
      <t>Qual Faturamento</t>
    </r>
    <r>
      <rPr>
        <b/>
        <sz val="11"/>
        <color theme="1"/>
        <rFont val="Aptos Narrow"/>
        <family val="2"/>
        <scheme val="minor"/>
      </rPr>
      <t xml:space="preserve"> TOTAL DE VENDAS 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renovação automatica</t>
    </r>
  </si>
  <si>
    <t>XBOX GAME PASS SUBSCRIPITIONS SALES</t>
  </si>
  <si>
    <t>Total de venda assinaturas EA Play</t>
  </si>
  <si>
    <t>Soma de Minecraft Season Pass Price</t>
  </si>
  <si>
    <t>Soma de EA Play Season Pass</t>
  </si>
  <si>
    <t>Total Venda Assinaturas do Minecraft Season Pass</t>
  </si>
  <si>
    <t>Calculation period: 01/01/24 | Update date: 25/12/24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</si>
</sst>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2"/>
      <color rgb="FF2AE6B1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8" borderId="0" xfId="3" applyAlignment="1">
      <alignment horizontal="center"/>
    </xf>
    <xf numFmtId="0" fontId="0" fillId="0" borderId="0" xfId="0" applyNumberFormat="1"/>
    <xf numFmtId="44" fontId="0" fillId="0" borderId="0" xfId="2" applyFont="1"/>
    <xf numFmtId="0" fontId="5" fillId="0" borderId="2" xfId="1" applyFont="1" applyBorder="1" applyAlignment="1">
      <alignment horizontal="left" vertical="center" indent="8"/>
    </xf>
    <xf numFmtId="0" fontId="6" fillId="7" borderId="0" xfId="0" applyFont="1" applyFill="1" applyAlignment="1">
      <alignment horizontal="left" indent="1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3EB4F1D-2F1B-43A5-879F-1CEA4811832E}">
      <tableStyleElement type="wholeTable" dxfId="1"/>
      <tableStyleElement type="headerRow" dxfId="0"/>
    </tableStyle>
  </tableStyles>
  <colors>
    <mruColors>
      <color rgb="FF2AE6B1"/>
      <color rgb="FFE8E6E9"/>
      <color rgb="FF5BF6A8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DASBOARDS.xlsx]C̳álculos!Tabela dinâmica1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DC-4579-BD90-DF62163157D4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DC-4579-BD90-DF62163157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DC-4579-BD90-DF6216315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5390143"/>
        <c:axId val="935387743"/>
      </c:barChart>
      <c:catAx>
        <c:axId val="93539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5387743"/>
        <c:crosses val="autoZero"/>
        <c:auto val="1"/>
        <c:lblAlgn val="ctr"/>
        <c:lblOffset val="100"/>
        <c:noMultiLvlLbl val="0"/>
      </c:catAx>
      <c:valAx>
        <c:axId val="9353877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35390143"/>
        <c:crosses val="autoZero"/>
        <c:crossBetween val="between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152398</xdr:colOff>
      <xdr:row>0</xdr:row>
      <xdr:rowOff>104776</xdr:rowOff>
    </xdr:from>
    <xdr:to>
      <xdr:col>3</xdr:col>
      <xdr:colOff>57150</xdr:colOff>
      <xdr:row>2</xdr:row>
      <xdr:rowOff>28576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8BF971-2A70-498F-9731-279807123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6" t="20749" r="71947" b="17007"/>
        <a:stretch>
          <a:fillRect/>
        </a:stretch>
      </xdr:blipFill>
      <xdr:spPr>
        <a:xfrm>
          <a:off x="2009773" y="104776"/>
          <a:ext cx="752477" cy="7429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2</xdr:row>
      <xdr:rowOff>559594</xdr:rowOff>
    </xdr:from>
    <xdr:to>
      <xdr:col>0</xdr:col>
      <xdr:colOff>1861038</xdr:colOff>
      <xdr:row>9</xdr:row>
      <xdr:rowOff>59530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8261ACDD-9136-4A70-BBCC-1B0F6478C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380209"/>
              <a:ext cx="1813414" cy="12730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65485</xdr:colOff>
      <xdr:row>5</xdr:row>
      <xdr:rowOff>77576</xdr:rowOff>
    </xdr:from>
    <xdr:to>
      <xdr:col>9</xdr:col>
      <xdr:colOff>375048</xdr:colOff>
      <xdr:row>13</xdr:row>
      <xdr:rowOff>85910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5BC4F8B7-065D-1652-1296-170BE242AD94}"/>
            </a:ext>
          </a:extLst>
        </xdr:cNvPr>
        <xdr:cNvGrpSpPr/>
      </xdr:nvGrpSpPr>
      <xdr:grpSpPr>
        <a:xfrm>
          <a:off x="1926523" y="1909307"/>
          <a:ext cx="4808294" cy="1532334"/>
          <a:chOff x="1922860" y="1522808"/>
          <a:chExt cx="4798219" cy="1532334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1717647-4CD7-1A8F-0892-0C55833C9559}"/>
              </a:ext>
            </a:extLst>
          </xdr:cNvPr>
          <xdr:cNvSpPr/>
        </xdr:nvSpPr>
        <xdr:spPr>
          <a:xfrm>
            <a:off x="1922861" y="1868090"/>
            <a:ext cx="4774406" cy="11549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D7AE999-9D2E-4690-A106-ED23E5E52678}"/>
              </a:ext>
            </a:extLst>
          </xdr:cNvPr>
          <xdr:cNvSpPr/>
        </xdr:nvSpPr>
        <xdr:spPr>
          <a:xfrm>
            <a:off x="4042176" y="1919284"/>
            <a:ext cx="2674140" cy="105251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9CC342-5C86-4988-A331-F7576802EBC6}" type="TxLink">
              <a:rPr lang="en-US" sz="3600" b="1" i="0" u="none" strike="noStrike">
                <a:solidFill>
                  <a:srgbClr val="2AE6B1"/>
                </a:solidFill>
                <a:latin typeface="Aptos Narrow"/>
              </a:rPr>
              <a:pPr algn="ctr"/>
              <a:t> R$ 600,00 </a:t>
            </a:fld>
            <a:endParaRPr lang="pt-BR" sz="3600" b="1">
              <a:solidFill>
                <a:srgbClr val="2AE6B1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3F78A7C0-2B65-42E9-8A7B-B98636A2B7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9579" y="1835942"/>
            <a:ext cx="1219200" cy="1219200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9054F9D-BAC5-4F95-FC79-66F87615F903}"/>
              </a:ext>
            </a:extLst>
          </xdr:cNvPr>
          <xdr:cNvSpPr/>
        </xdr:nvSpPr>
        <xdr:spPr>
          <a:xfrm>
            <a:off x="1922860" y="1522808"/>
            <a:ext cx="4798219" cy="381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Variable Display" pitchFamily="2" charset="0"/>
              </a:rPr>
              <a:t>TOTAL SUBSCRIPITIONS EA PLAY SEASON PASS</a:t>
            </a:r>
          </a:p>
          <a:p>
            <a:pPr algn="ctr"/>
            <a:endParaRPr lang="pt-BR" sz="1400" b="1">
              <a:latin typeface="Segoe UI Variable Display" pitchFamily="2" charset="0"/>
            </a:endParaRPr>
          </a:p>
        </xdr:txBody>
      </xdr:sp>
    </xdr:grpSp>
    <xdr:clientData/>
  </xdr:twoCellAnchor>
  <xdr:twoCellAnchor>
    <xdr:from>
      <xdr:col>9</xdr:col>
      <xdr:colOff>502841</xdr:colOff>
      <xdr:row>5</xdr:row>
      <xdr:rowOff>74600</xdr:rowOff>
    </xdr:from>
    <xdr:to>
      <xdr:col>18</xdr:col>
      <xdr:colOff>2778</xdr:colOff>
      <xdr:row>13</xdr:row>
      <xdr:rowOff>50787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9CD7AAD-5644-7A5C-A8CA-F2A228956E20}"/>
            </a:ext>
          </a:extLst>
        </xdr:cNvPr>
        <xdr:cNvGrpSpPr/>
      </xdr:nvGrpSpPr>
      <xdr:grpSpPr>
        <a:xfrm>
          <a:off x="6862610" y="1906331"/>
          <a:ext cx="4804630" cy="1500187"/>
          <a:chOff x="6861572" y="1497805"/>
          <a:chExt cx="4798219" cy="1500187"/>
        </a:xfrm>
      </xdr:grpSpPr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B1E2F351-12EC-602C-709A-4667D3868E64}"/>
              </a:ext>
            </a:extLst>
          </xdr:cNvPr>
          <xdr:cNvSpPr/>
        </xdr:nvSpPr>
        <xdr:spPr>
          <a:xfrm>
            <a:off x="6861573" y="1843087"/>
            <a:ext cx="4774406" cy="115490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1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1225C513-B97F-0FA0-880A-566D0CB1AFB8}"/>
              </a:ext>
            </a:extLst>
          </xdr:cNvPr>
          <xdr:cNvSpPr/>
        </xdr:nvSpPr>
        <xdr:spPr>
          <a:xfrm>
            <a:off x="8980888" y="1894281"/>
            <a:ext cx="2674140" cy="105251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744E1DBB-A8BF-442E-BB6D-C5E0EF825A54}" type="TxLink">
              <a:rPr lang="en-US" sz="3600" b="1" i="0" u="none" strike="noStrike">
                <a:solidFill>
                  <a:srgbClr val="2AE6B1"/>
                </a:solidFill>
                <a:latin typeface="Aptos Narrow"/>
                <a:ea typeface="+mn-ea"/>
                <a:cs typeface="+mn-cs"/>
              </a:rPr>
              <a:pPr marL="0" indent="0" algn="ctr"/>
              <a:t> R$ 940,00 </a:t>
            </a:fld>
            <a:endParaRPr lang="pt-BR" sz="3600" b="1" i="0" u="none" strike="noStrike">
              <a:solidFill>
                <a:srgbClr val="2AE6B1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75B8D64B-00E0-D1CB-5409-20EFA3B0AF71}"/>
              </a:ext>
            </a:extLst>
          </xdr:cNvPr>
          <xdr:cNvSpPr/>
        </xdr:nvSpPr>
        <xdr:spPr>
          <a:xfrm>
            <a:off x="6861572" y="1497805"/>
            <a:ext cx="4798219" cy="381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Variable Display" pitchFamily="2" charset="0"/>
              </a:rPr>
              <a:t>TOTAL SUBSCRIPITIONS EA PLAY SEASON PASS</a:t>
            </a:r>
          </a:p>
          <a:p>
            <a:pPr algn="ctr"/>
            <a:endParaRPr lang="pt-BR" sz="1400" b="1">
              <a:latin typeface="Segoe UI Variable Display" pitchFamily="2" charset="0"/>
            </a:endParaRPr>
          </a:p>
        </xdr:txBody>
      </xdr:sp>
    </xdr:grpSp>
    <xdr:clientData/>
  </xdr:twoCellAnchor>
  <xdr:twoCellAnchor editAs="absolute">
    <xdr:from>
      <xdr:col>10</xdr:col>
      <xdr:colOff>251695</xdr:colOff>
      <xdr:row>6</xdr:row>
      <xdr:rowOff>70246</xdr:rowOff>
    </xdr:from>
    <xdr:to>
      <xdr:col>12</xdr:col>
      <xdr:colOff>321469</xdr:colOff>
      <xdr:row>9</xdr:row>
      <xdr:rowOff>151206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2ED4790-EE1D-4CF9-8330-25B9AA0778D1}"/>
            </a:ext>
          </a:extLst>
        </xdr:cNvPr>
        <xdr:cNvGrpSpPr/>
      </xdr:nvGrpSpPr>
      <xdr:grpSpPr>
        <a:xfrm>
          <a:off x="7219599" y="2092477"/>
          <a:ext cx="1117524" cy="652460"/>
          <a:chOff x="3495675" y="5400674"/>
          <a:chExt cx="1549476" cy="752476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7D52A7AC-FDED-AFE3-00FF-31445FB525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487455A3-291E-C0EF-22B7-2E1A178612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75804</xdr:colOff>
      <xdr:row>15</xdr:row>
      <xdr:rowOff>171239</xdr:rowOff>
    </xdr:from>
    <xdr:to>
      <xdr:col>17</xdr:col>
      <xdr:colOff>603250</xdr:colOff>
      <xdr:row>34</xdr:row>
      <xdr:rowOff>185923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3337EB71-52C5-8CC9-0635-32C08ED1E3D4}"/>
            </a:ext>
          </a:extLst>
        </xdr:cNvPr>
        <xdr:cNvGrpSpPr/>
      </xdr:nvGrpSpPr>
      <xdr:grpSpPr>
        <a:xfrm>
          <a:off x="1936842" y="3907970"/>
          <a:ext cx="9722735" cy="3634184"/>
          <a:chOff x="1936354" y="3516708"/>
          <a:chExt cx="9741296" cy="3634184"/>
        </a:xfrm>
      </xdr:grpSpPr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AA1C5B0E-AA70-BC29-7318-D13C322656BB}"/>
              </a:ext>
            </a:extLst>
          </xdr:cNvPr>
          <xdr:cNvSpPr/>
        </xdr:nvSpPr>
        <xdr:spPr>
          <a:xfrm>
            <a:off x="1943893" y="3912391"/>
            <a:ext cx="9725819" cy="323850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BE71CCF3-797E-4D30-BB28-592EFB94FA4E}"/>
              </a:ext>
            </a:extLst>
          </xdr:cNvPr>
          <xdr:cNvGraphicFramePr>
            <a:graphicFrameLocks/>
          </xdr:cNvGraphicFramePr>
        </xdr:nvGraphicFramePr>
        <xdr:xfrm>
          <a:off x="2207038" y="3967338"/>
          <a:ext cx="9328113" cy="30804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13702603-EAEB-414B-8BBE-F4116BFF682A}"/>
              </a:ext>
            </a:extLst>
          </xdr:cNvPr>
          <xdr:cNvSpPr/>
        </xdr:nvSpPr>
        <xdr:spPr>
          <a:xfrm>
            <a:off x="1936354" y="3516708"/>
            <a:ext cx="9741296" cy="3810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Variable Display" pitchFamily="2" charset="0"/>
              </a:rPr>
              <a:t>TOTAL SUBSCRIPITIONS EA PLAY SEASON PASS</a:t>
            </a:r>
          </a:p>
          <a:p>
            <a:pPr algn="ctr"/>
            <a:endParaRPr lang="pt-BR" sz="1400" b="1">
              <a:latin typeface="Segoe UI Variable Display" pitchFamily="2" charset="0"/>
            </a:endParaRPr>
          </a:p>
        </xdr:txBody>
      </xdr:sp>
    </xdr:grpSp>
    <xdr:clientData/>
  </xdr:twoCellAnchor>
  <xdr:twoCellAnchor editAs="absolute">
    <xdr:from>
      <xdr:col>0</xdr:col>
      <xdr:colOff>526806</xdr:colOff>
      <xdr:row>0</xdr:row>
      <xdr:rowOff>165589</xdr:rowOff>
    </xdr:from>
    <xdr:to>
      <xdr:col>0</xdr:col>
      <xdr:colOff>1222131</xdr:colOff>
      <xdr:row>2</xdr:row>
      <xdr:rowOff>41764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5A3424A0-377E-481D-B262-28B720F65107}"/>
            </a:ext>
          </a:extLst>
        </xdr:cNvPr>
        <xdr:cNvSpPr/>
      </xdr:nvSpPr>
      <xdr:spPr>
        <a:xfrm>
          <a:off x="526806" y="165589"/>
          <a:ext cx="695325" cy="69679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142875</xdr:colOff>
      <xdr:row>2</xdr:row>
      <xdr:rowOff>228600</xdr:rowOff>
    </xdr:from>
    <xdr:to>
      <xdr:col>0</xdr:col>
      <xdr:colOff>1676400</xdr:colOff>
      <xdr:row>2</xdr:row>
      <xdr:rowOff>485775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6A201B98-2E5E-E34D-5A53-96190B723572}"/>
            </a:ext>
          </a:extLst>
        </xdr:cNvPr>
        <xdr:cNvSpPr/>
      </xdr:nvSpPr>
      <xdr:spPr>
        <a:xfrm>
          <a:off x="142875" y="1047750"/>
          <a:ext cx="1533525" cy="2571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&gt; Bem Vinda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Souza" refreshedDate="46066.682184953701" createdVersion="8" refreshedVersion="8" minRefreshableVersion="3" recordCount="295" xr:uid="{8D75D7CD-239A-4B23-9D6A-496191FB4E5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166822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B892A-7906-47C9-A00D-C707A69EDF08}" name="Tabela dinâmica4" cacheId="1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9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79D5E-6192-4099-B0A6-D866357E3486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00EE4-E996-41B8-A7BF-DB67596C2A37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E7161D8-66C2-4E6C-B1EF-C443558CE8DE}" sourceName="Subscription Type">
  <pivotTables>
    <pivotTable tabId="3" name="Tabela dinâmica1"/>
    <pivotTable tabId="3" name="Tabela dinâmica2"/>
    <pivotTable tabId="3" name="Tabela dinâmica4"/>
  </pivotTables>
  <data>
    <tabular pivotCacheId="191668224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23F371D-BCBC-40C1-A48E-3645AD4F159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1" sqref="D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F31"/>
  <sheetViews>
    <sheetView showGridLines="0" workbookViewId="0">
      <selection activeCell="D31" sqref="D31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36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6" x14ac:dyDescent="0.25">
      <c r="B2" s="15" t="s">
        <v>316</v>
      </c>
      <c r="C2" s="15"/>
      <c r="D2" s="15"/>
      <c r="E2" s="15"/>
      <c r="F2" s="15"/>
    </row>
    <row r="3" spans="1:6" x14ac:dyDescent="0.25">
      <c r="A3">
        <v>1</v>
      </c>
      <c r="B3" t="s">
        <v>317</v>
      </c>
    </row>
    <row r="4" spans="1:6" x14ac:dyDescent="0.25">
      <c r="A4">
        <v>2</v>
      </c>
      <c r="B4" t="s">
        <v>318</v>
      </c>
    </row>
    <row r="5" spans="1:6" x14ac:dyDescent="0.25">
      <c r="A5">
        <v>3</v>
      </c>
      <c r="B5" t="s">
        <v>320</v>
      </c>
    </row>
    <row r="6" spans="1:6" x14ac:dyDescent="0.25">
      <c r="A6">
        <v>4</v>
      </c>
      <c r="B6" t="s">
        <v>323</v>
      </c>
    </row>
    <row r="9" spans="1:6" x14ac:dyDescent="0.25">
      <c r="B9" s="13" t="s">
        <v>16</v>
      </c>
      <c r="C9" t="s">
        <v>24</v>
      </c>
    </row>
    <row r="11" spans="1:6" x14ac:dyDescent="0.25">
      <c r="B11" s="13" t="s">
        <v>314</v>
      </c>
      <c r="C11" t="s">
        <v>313</v>
      </c>
    </row>
    <row r="12" spans="1:6" x14ac:dyDescent="0.25">
      <c r="B12" s="14" t="s">
        <v>23</v>
      </c>
      <c r="C12" s="12">
        <v>217</v>
      </c>
    </row>
    <row r="13" spans="1:6" x14ac:dyDescent="0.25">
      <c r="B13" s="14" t="s">
        <v>19</v>
      </c>
      <c r="C13" s="12">
        <v>1537</v>
      </c>
    </row>
    <row r="14" spans="1:6" x14ac:dyDescent="0.25">
      <c r="B14" s="14" t="s">
        <v>315</v>
      </c>
      <c r="C14" s="12">
        <v>1754</v>
      </c>
    </row>
    <row r="17" spans="2:4" x14ac:dyDescent="0.25">
      <c r="B17" s="13" t="s">
        <v>16</v>
      </c>
      <c r="C17" t="s">
        <v>24</v>
      </c>
    </row>
    <row r="19" spans="2:4" x14ac:dyDescent="0.25">
      <c r="B19" s="13" t="s">
        <v>314</v>
      </c>
      <c r="C19" t="s">
        <v>322</v>
      </c>
    </row>
    <row r="20" spans="2:4" x14ac:dyDescent="0.25">
      <c r="B20" s="14" t="s">
        <v>22</v>
      </c>
      <c r="C20" s="16">
        <v>0</v>
      </c>
    </row>
    <row r="21" spans="2:4" x14ac:dyDescent="0.25">
      <c r="B21" s="14" t="s">
        <v>26</v>
      </c>
      <c r="C21" s="16">
        <v>0</v>
      </c>
    </row>
    <row r="22" spans="2:4" x14ac:dyDescent="0.25">
      <c r="B22" s="14" t="s">
        <v>18</v>
      </c>
      <c r="C22" s="16">
        <v>600</v>
      </c>
      <c r="D22" s="17">
        <f>GETPIVOTDATA("EA Play Season Pass
Price",$B$19,"Plan","Ultimate")</f>
        <v>600</v>
      </c>
    </row>
    <row r="23" spans="2:4" x14ac:dyDescent="0.25">
      <c r="B23" s="14" t="s">
        <v>315</v>
      </c>
      <c r="C23" s="16">
        <v>600</v>
      </c>
      <c r="D23" s="17"/>
    </row>
    <row r="25" spans="2:4" x14ac:dyDescent="0.25">
      <c r="B25" s="13" t="s">
        <v>16</v>
      </c>
      <c r="C25" t="s">
        <v>24</v>
      </c>
    </row>
    <row r="27" spans="2:4" x14ac:dyDescent="0.25">
      <c r="B27" s="13" t="s">
        <v>314</v>
      </c>
      <c r="C27" t="s">
        <v>321</v>
      </c>
    </row>
    <row r="28" spans="2:4" x14ac:dyDescent="0.25">
      <c r="B28" s="14" t="s">
        <v>22</v>
      </c>
      <c r="C28" s="12">
        <v>0</v>
      </c>
    </row>
    <row r="29" spans="2:4" x14ac:dyDescent="0.25">
      <c r="B29" s="14" t="s">
        <v>26</v>
      </c>
      <c r="C29" s="12">
        <v>540</v>
      </c>
    </row>
    <row r="30" spans="2:4" x14ac:dyDescent="0.25">
      <c r="B30" s="14" t="s">
        <v>18</v>
      </c>
      <c r="C30" s="12">
        <v>400</v>
      </c>
    </row>
    <row r="31" spans="2:4" x14ac:dyDescent="0.25">
      <c r="B31" s="14" t="s">
        <v>315</v>
      </c>
      <c r="C31" s="12">
        <v>940</v>
      </c>
      <c r="D31" s="17">
        <f>GETPIVOTDATA("Minecraft Season Pass Price",$B$27)</f>
        <v>940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61"/>
  <sheetViews>
    <sheetView showGridLines="0" showRowColHeaders="0" tabSelected="1" zoomScale="130" zoomScaleNormal="130" workbookViewId="0">
      <selection activeCell="D3" sqref="D3"/>
    </sheetView>
  </sheetViews>
  <sheetFormatPr defaultRowHeight="15" x14ac:dyDescent="0.25"/>
  <cols>
    <col min="1" max="1" width="27.85546875" style="5" customWidth="1"/>
    <col min="2" max="2" width="3.5703125" customWidth="1"/>
    <col min="12" max="12" width="6.5703125" customWidth="1"/>
  </cols>
  <sheetData>
    <row r="2" spans="1:18" ht="50.1" customHeight="1" thickBot="1" x14ac:dyDescent="0.3">
      <c r="C2" s="18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50.1" customHeight="1" thickTop="1" x14ac:dyDescent="0.25"/>
    <row r="4" spans="1:18" s="7" customFormat="1" x14ac:dyDescent="0.25">
      <c r="A4" s="5"/>
      <c r="B4" s="19" t="s">
        <v>324</v>
      </c>
    </row>
    <row r="5" spans="1:18" s="7" customFormat="1" x14ac:dyDescent="0.25">
      <c r="A5" s="5"/>
    </row>
    <row r="6" spans="1:18" s="7" customFormat="1" x14ac:dyDescent="0.25">
      <c r="A6" s="5"/>
    </row>
    <row r="7" spans="1:18" s="7" customFormat="1" x14ac:dyDescent="0.25">
      <c r="A7" s="5"/>
    </row>
    <row r="8" spans="1:18" s="7" customFormat="1" x14ac:dyDescent="0.25">
      <c r="A8" s="5"/>
    </row>
    <row r="9" spans="1:18" s="7" customFormat="1" x14ac:dyDescent="0.25">
      <c r="A9" s="5"/>
    </row>
    <row r="10" spans="1:18" s="7" customFormat="1" x14ac:dyDescent="0.25">
      <c r="A10" s="5"/>
    </row>
    <row r="11" spans="1:18" s="7" customFormat="1" x14ac:dyDescent="0.25">
      <c r="A11" s="5"/>
    </row>
    <row r="12" spans="1:18" s="7" customFormat="1" x14ac:dyDescent="0.25">
      <c r="A12" s="5"/>
    </row>
    <row r="13" spans="1:18" s="7" customFormat="1" x14ac:dyDescent="0.25">
      <c r="A13" s="5"/>
    </row>
    <row r="14" spans="1:18" s="7" customFormat="1" x14ac:dyDescent="0.25">
      <c r="A14" s="5"/>
    </row>
    <row r="15" spans="1:18" s="7" customFormat="1" x14ac:dyDescent="0.25">
      <c r="A15" s="5"/>
    </row>
    <row r="16" spans="1:18" s="7" customFormat="1" x14ac:dyDescent="0.25">
      <c r="A16" s="5"/>
    </row>
    <row r="17" spans="1:1" s="7" customFormat="1" x14ac:dyDescent="0.25">
      <c r="A17" s="5"/>
    </row>
    <row r="18" spans="1:1" s="7" customFormat="1" x14ac:dyDescent="0.25">
      <c r="A18" s="5"/>
    </row>
    <row r="19" spans="1:1" s="7" customFormat="1" x14ac:dyDescent="0.25">
      <c r="A19" s="5"/>
    </row>
    <row r="20" spans="1:1" s="7" customFormat="1" x14ac:dyDescent="0.25">
      <c r="A20" s="5"/>
    </row>
    <row r="21" spans="1:1" s="7" customFormat="1" x14ac:dyDescent="0.25">
      <c r="A21" s="5"/>
    </row>
    <row r="22" spans="1:1" s="7" customFormat="1" x14ac:dyDescent="0.25">
      <c r="A22" s="5"/>
    </row>
    <row r="23" spans="1:1" s="7" customFormat="1" x14ac:dyDescent="0.25">
      <c r="A23" s="5"/>
    </row>
    <row r="24" spans="1:1" s="7" customFormat="1" x14ac:dyDescent="0.25">
      <c r="A24" s="5"/>
    </row>
    <row r="25" spans="1:1" s="7" customFormat="1" x14ac:dyDescent="0.25">
      <c r="A25" s="5"/>
    </row>
    <row r="26" spans="1:1" s="7" customFormat="1" x14ac:dyDescent="0.25">
      <c r="A26" s="5"/>
    </row>
    <row r="27" spans="1:1" s="7" customFormat="1" x14ac:dyDescent="0.25">
      <c r="A27" s="5"/>
    </row>
    <row r="28" spans="1:1" s="7" customFormat="1" x14ac:dyDescent="0.25">
      <c r="A28" s="5"/>
    </row>
    <row r="29" spans="1:1" s="7" customFormat="1" x14ac:dyDescent="0.25">
      <c r="A29" s="5"/>
    </row>
    <row r="30" spans="1:1" s="7" customFormat="1" x14ac:dyDescent="0.25">
      <c r="A30" s="5"/>
    </row>
    <row r="31" spans="1:1" s="7" customFormat="1" x14ac:dyDescent="0.25">
      <c r="A31" s="5"/>
    </row>
    <row r="32" spans="1:1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5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5"/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</sheetData>
  <sheetProtection selectLockedCells="1"/>
  <mergeCells count="1">
    <mergeCell ref="C2:R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Paulo Amaral</cp:lastModifiedBy>
  <dcterms:created xsi:type="dcterms:W3CDTF">2024-12-19T13:13:10Z</dcterms:created>
  <dcterms:modified xsi:type="dcterms:W3CDTF">2026-02-13T21:08:42Z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